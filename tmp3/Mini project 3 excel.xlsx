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boyle/Downloads/"/>
    </mc:Choice>
  </mc:AlternateContent>
  <xr:revisionPtr revIDLastSave="0" documentId="8_{7B72EC66-6423-4641-8C98-7496E40A07DC}" xr6:coauthVersionLast="47" xr6:coauthVersionMax="47" xr10:uidLastSave="{00000000-0000-0000-0000-000000000000}"/>
  <bookViews>
    <workbookView xWindow="680" yWindow="760" windowWidth="28040" windowHeight="17340" activeTab="1" xr2:uid="{5D4E4C56-5113-4047-B157-004F8E0D62CF}"/>
  </bookViews>
  <sheets>
    <sheet name="Sensitivity Report 1" sheetId="7" r:id="rId1"/>
    <sheet name="Sheet1" sheetId="1" r:id="rId2"/>
  </sheets>
  <definedNames>
    <definedName name="solver_adj" localSheetId="1" hidden="1">Sheet1!$B$2:$B$5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itr" localSheetId="1" hidden="1">2147483647</definedName>
    <definedName name="solver_lhs1" localSheetId="1" hidden="1">Sheet1!$B$10</definedName>
    <definedName name="solver_lhs2" localSheetId="1" hidden="1">Sheet1!$B$11</definedName>
    <definedName name="solver_lhs3" localSheetId="1" hidden="1">Sheet1!$B$12</definedName>
    <definedName name="solver_lhs4" localSheetId="1" hidden="1">Sheet1!$B$13</definedName>
    <definedName name="solver_lhs5" localSheetId="1" hidden="1">Sheet1!$B$14</definedName>
    <definedName name="solver_lhs6" localSheetId="1" hidden="1">Sheet1!$B$15</definedName>
    <definedName name="solver_lhs7" localSheetId="1" hidden="1">Sheet1!$B$9</definedName>
    <definedName name="solver_lin" localSheetId="1" hidden="1">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opt" localSheetId="1" hidden="1">Sheet1!$B$18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2</definedName>
    <definedName name="solver_rel3" localSheetId="1" hidden="1">3</definedName>
    <definedName name="solver_rel4" localSheetId="1" hidden="1">3</definedName>
    <definedName name="solver_rel5" localSheetId="1" hidden="1">3</definedName>
    <definedName name="solver_rel6" localSheetId="1" hidden="1">3</definedName>
    <definedName name="solver_rel7" localSheetId="1" hidden="1">1</definedName>
    <definedName name="solver_rhs1" localSheetId="1" hidden="1">Sheet1!$D$10</definedName>
    <definedName name="solver_rhs2" localSheetId="1" hidden="1">Sheet1!$D$11</definedName>
    <definedName name="solver_rhs3" localSheetId="1" hidden="1">Sheet1!$D$12</definedName>
    <definedName name="solver_rhs4" localSheetId="1" hidden="1">Sheet1!$D$13</definedName>
    <definedName name="solver_rhs5" localSheetId="1" hidden="1">Sheet1!$D$14</definedName>
    <definedName name="solver_rhs6" localSheetId="1" hidden="1">Sheet1!$D$15</definedName>
    <definedName name="solver_rhs7" localSheetId="1" hidden="1">Sheet1!$D$9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D11" i="1"/>
  <c r="B11" i="1"/>
  <c r="B9" i="1"/>
  <c r="B10" i="1"/>
  <c r="K4" i="1"/>
  <c r="J6" i="1" s="1"/>
  <c r="K6" i="1" s="1"/>
  <c r="J5" i="1"/>
  <c r="M5" i="1"/>
  <c r="N5" i="1" s="1"/>
  <c r="J2" i="1"/>
  <c r="K3" i="1"/>
  <c r="K2" i="1"/>
  <c r="K5" i="1" l="1"/>
  <c r="B18" i="1" s="1"/>
</calcChain>
</file>

<file path=xl/sharedStrings.xml><?xml version="1.0" encoding="utf-8"?>
<sst xmlns="http://schemas.openxmlformats.org/spreadsheetml/2006/main" count="80" uniqueCount="60">
  <si>
    <t>K</t>
  </si>
  <si>
    <t>M</t>
  </si>
  <si>
    <t>Constraints</t>
  </si>
  <si>
    <t>=</t>
  </si>
  <si>
    <t>&lt;=</t>
  </si>
  <si>
    <t>Total Profit</t>
  </si>
  <si>
    <t>X</t>
  </si>
  <si>
    <t>Y</t>
  </si>
  <si>
    <t>How much to produce</t>
  </si>
  <si>
    <t>Prim prod</t>
  </si>
  <si>
    <t>Prod K</t>
  </si>
  <si>
    <t>Prod M</t>
  </si>
  <si>
    <t>Specially Treated</t>
  </si>
  <si>
    <t>X used</t>
  </si>
  <si>
    <t>Y used</t>
  </si>
  <si>
    <t>Net Profit per product</t>
  </si>
  <si>
    <t>PP</t>
  </si>
  <si>
    <t>Special Treatment</t>
  </si>
  <si>
    <t>Microsoft Excel 16.90 Sensitivity Report</t>
  </si>
  <si>
    <t>Worksheet: [Book1]Sheet1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</si>
  <si>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</si>
  <si>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</si>
  <si>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</si>
  <si>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</si>
  <si>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</si>
  <si>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</si>
  <si>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</si>
  <si>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</si>
  <si>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</si>
  <si>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</si>
  <si>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</si>
  <si>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</si>
  <si>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</si>
  <si>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</si>
  <si>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</si>
  <si>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</si>
  <si>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Prim prod How much to produce</t>
  </si>
  <si>
    <t>Prod K How much to produce</t>
  </si>
  <si>
    <t>Prod M How much to produce</t>
  </si>
  <si>
    <t>Specially Treated How much to produce</t>
  </si>
  <si>
    <t>X used How much to produce</t>
  </si>
  <si>
    <t>Y used How much to produce</t>
  </si>
  <si>
    <t xml:space="preserve"> </t>
  </si>
  <si>
    <t>&gt;=</t>
  </si>
  <si>
    <t>Waste = PP</t>
  </si>
  <si>
    <t>Non negatives</t>
  </si>
  <si>
    <t>Report Created: 2/24/26 6:26:30 PM</t>
  </si>
  <si>
    <t>$B$2</t>
  </si>
  <si>
    <t>$B$3</t>
  </si>
  <si>
    <t>$B$4</t>
  </si>
  <si>
    <t>$B$5</t>
  </si>
  <si>
    <t>$B$10</t>
  </si>
  <si>
    <t>$B$11</t>
  </si>
  <si>
    <t>Waste = PP How much to produce</t>
  </si>
  <si>
    <t>$B$12</t>
  </si>
  <si>
    <t>Non negatives How much to produce</t>
  </si>
  <si>
    <t>$B$13</t>
  </si>
  <si>
    <t>$B$14</t>
  </si>
  <si>
    <t>$B$15</t>
  </si>
  <si>
    <t>$B$9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</si>
</sst>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indexed="1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C6D76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1">
    <xf numFmtId="0" fontId="0" fillId="0" borderId="0" xfId="0"/>
    <xf numFmtId="172" fontId="0" fillId="0" borderId="0" xfId="0" applyNumberFormat="1"/>
    <xf numFmtId="0" fontId="0" fillId="2" borderId="0" xfId="0" applyFill="1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0" xfId="0" quotePrefix="1"/>
    <xf numFmtId="172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C6D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BE97-E920-7D4F-A7B3-C681807DD448}">
  <dimension ref="A1:H23"/>
  <sheetViews>
    <sheetView showGridLines="0" workbookViewId="0">
      <selection activeCell="M14" sqref="M14"/>
    </sheetView>
  </sheetViews>
  <sheetFormatPr baseColWidth="10" defaultRowHeight="16" x14ac:dyDescent="0.2"/>
  <cols>
    <col min="1" max="1" width="2.33203125" customWidth="1"/>
    <col min="2" max="2" width="6.33203125" bestFit="1" customWidth="1"/>
    <col min="3" max="3" width="33.5" bestFit="1" customWidth="1"/>
    <col min="4" max="4" width="5.83203125" bestFit="1" customWidth="1"/>
    <col min="5" max="6" width="12.83203125" bestFit="1" customWidth="1"/>
    <col min="7" max="8" width="12.1640625" bestFit="1" customWidth="1"/>
  </cols>
  <sheetData>
    <row r="1" spans="1:8" x14ac:dyDescent="0.2">
      <c r="A1" s="3" t="s">
        <v>18</v>
      </c>
    </row>
    <row r="2" spans="1:8" x14ac:dyDescent="0.2">
      <c r="A2" s="3" t="s">
        <v>19</v>
      </c>
    </row>
    <row r="3" spans="1:8" x14ac:dyDescent="0.2">
      <c r="A3" s="3" t="s">
        <v>46</v>
      </c>
    </row>
    <row r="6" spans="1:8" ht="17" thickBot="1" x14ac:dyDescent="0.25">
      <c r="A6" t="s">
        <v>20</v>
      </c>
    </row>
    <row r="7" spans="1:8" x14ac:dyDescent="0.2">
      <c r="B7" s="6"/>
      <c r="C7" s="6"/>
      <c r="D7" s="6" t="s">
        <v>23</v>
      </c>
      <c r="E7" s="6" t="s">
        <v>25</v>
      </c>
      <c r="F7" s="6" t="s">
        <v>27</v>
      </c>
      <c r="G7" s="6" t="s">
        <v>29</v>
      </c>
      <c r="H7" s="6" t="s">
        <v>29</v>
      </c>
    </row>
    <row r="8" spans="1:8" ht="17" thickBot="1" x14ac:dyDescent="0.25">
      <c r="B8" s="7" t="s">
        <v>21</v>
      </c>
      <c r="C8" s="7" t="s">
        <v>22</v>
      </c>
      <c r="D8" s="7" t="s">
        <v>24</v>
      </c>
      <c r="E8" s="7" t="s">
        <v>26</v>
      </c>
      <c r="F8" s="7" t="s">
        <v>28</v>
      </c>
      <c r="G8" s="7" t="s">
        <v>30</v>
      </c>
      <c r="H8" s="7" t="s">
        <v>31</v>
      </c>
    </row>
    <row r="9" spans="1:8" x14ac:dyDescent="0.2">
      <c r="B9" s="4" t="s">
        <v>47</v>
      </c>
      <c r="C9" s="4" t="s">
        <v>36</v>
      </c>
      <c r="D9" s="4">
        <v>4500</v>
      </c>
      <c r="E9" s="4">
        <v>0</v>
      </c>
      <c r="F9" s="4">
        <v>2.4916666666649689</v>
      </c>
      <c r="G9" s="4">
        <v>1E+30</v>
      </c>
      <c r="H9" s="4">
        <v>0.8833333333277551</v>
      </c>
    </row>
    <row r="10" spans="1:8" x14ac:dyDescent="0.2">
      <c r="B10" s="4" t="s">
        <v>48</v>
      </c>
      <c r="C10" s="4" t="s">
        <v>37</v>
      </c>
      <c r="D10" s="4">
        <v>6000</v>
      </c>
      <c r="E10" s="4">
        <v>0</v>
      </c>
      <c r="F10" s="4">
        <v>-6.6666666665696539E-2</v>
      </c>
      <c r="G10" s="4">
        <v>0.44166666666387755</v>
      </c>
      <c r="H10" s="4">
        <v>5.8333333334303461E-2</v>
      </c>
    </row>
    <row r="11" spans="1:8" x14ac:dyDescent="0.2">
      <c r="B11" s="4" t="s">
        <v>49</v>
      </c>
      <c r="C11" s="4" t="s">
        <v>38</v>
      </c>
      <c r="D11" s="4">
        <v>0</v>
      </c>
      <c r="E11" s="4">
        <v>0</v>
      </c>
      <c r="F11" s="4">
        <v>0.18541666666715173</v>
      </c>
      <c r="G11" s="4">
        <v>0.22083333333193877</v>
      </c>
      <c r="H11" s="4">
        <v>1E+30</v>
      </c>
    </row>
    <row r="12" spans="1:8" ht="17" thickBot="1" x14ac:dyDescent="0.25">
      <c r="B12" s="5" t="s">
        <v>50</v>
      </c>
      <c r="C12" s="5" t="s">
        <v>39</v>
      </c>
      <c r="D12" s="5">
        <v>1500</v>
      </c>
      <c r="E12" s="5">
        <v>0</v>
      </c>
      <c r="F12" s="5">
        <v>-0.25</v>
      </c>
      <c r="G12" s="5">
        <v>0.11666666666860692</v>
      </c>
      <c r="H12" s="5">
        <v>0.22083333333193877</v>
      </c>
    </row>
    <row r="14" spans="1:8" ht="17" thickBot="1" x14ac:dyDescent="0.25">
      <c r="A14" t="s">
        <v>2</v>
      </c>
    </row>
    <row r="15" spans="1:8" x14ac:dyDescent="0.2">
      <c r="B15" s="6"/>
      <c r="C15" s="6"/>
      <c r="D15" s="6" t="s">
        <v>23</v>
      </c>
      <c r="E15" s="6" t="s">
        <v>32</v>
      </c>
      <c r="F15" s="6" t="s">
        <v>34</v>
      </c>
      <c r="G15" s="6" t="s">
        <v>29</v>
      </c>
      <c r="H15" s="6" t="s">
        <v>29</v>
      </c>
    </row>
    <row r="16" spans="1:8" ht="17" thickBot="1" x14ac:dyDescent="0.25">
      <c r="B16" s="7" t="s">
        <v>21</v>
      </c>
      <c r="C16" s="7" t="s">
        <v>22</v>
      </c>
      <c r="D16" s="7" t="s">
        <v>24</v>
      </c>
      <c r="E16" s="7" t="s">
        <v>33</v>
      </c>
      <c r="F16" s="7" t="s">
        <v>35</v>
      </c>
      <c r="G16" s="7" t="s">
        <v>30</v>
      </c>
      <c r="H16" s="7" t="s">
        <v>31</v>
      </c>
    </row>
    <row r="17" spans="2:8" x14ac:dyDescent="0.2">
      <c r="B17" s="4" t="s">
        <v>51</v>
      </c>
      <c r="C17" s="4" t="s">
        <v>41</v>
      </c>
      <c r="D17" s="4">
        <v>9000</v>
      </c>
      <c r="E17" s="4">
        <v>1.062499999998181</v>
      </c>
      <c r="F17" s="4">
        <v>9000</v>
      </c>
      <c r="G17" s="4">
        <v>6000</v>
      </c>
      <c r="H17" s="4">
        <v>1500</v>
      </c>
    </row>
    <row r="18" spans="2:8" x14ac:dyDescent="0.2">
      <c r="B18" s="4" t="s">
        <v>52</v>
      </c>
      <c r="C18" s="4" t="s">
        <v>53</v>
      </c>
      <c r="D18" s="4">
        <v>4500</v>
      </c>
      <c r="E18" s="4">
        <v>-0.25</v>
      </c>
      <c r="F18" s="4">
        <v>0</v>
      </c>
      <c r="G18" s="4">
        <v>1E+30</v>
      </c>
      <c r="H18" s="4">
        <v>1500</v>
      </c>
    </row>
    <row r="19" spans="2:8" x14ac:dyDescent="0.2">
      <c r="B19" s="4" t="s">
        <v>54</v>
      </c>
      <c r="C19" s="4" t="s">
        <v>55</v>
      </c>
      <c r="D19" s="4">
        <v>4500</v>
      </c>
      <c r="E19" s="4">
        <v>0</v>
      </c>
      <c r="F19" s="4">
        <v>0</v>
      </c>
      <c r="G19" s="4">
        <v>4500</v>
      </c>
      <c r="H19" s="4">
        <v>1E+30</v>
      </c>
    </row>
    <row r="20" spans="2:8" x14ac:dyDescent="0.2">
      <c r="B20" s="4" t="s">
        <v>56</v>
      </c>
      <c r="C20" s="4" t="s">
        <v>55</v>
      </c>
      <c r="D20" s="4">
        <v>6000</v>
      </c>
      <c r="E20" s="4">
        <v>0</v>
      </c>
      <c r="F20" s="4">
        <v>0</v>
      </c>
      <c r="G20" s="4">
        <v>6000</v>
      </c>
      <c r="H20" s="4">
        <v>1E+30</v>
      </c>
    </row>
    <row r="21" spans="2:8" x14ac:dyDescent="0.2">
      <c r="B21" s="4" t="s">
        <v>57</v>
      </c>
      <c r="C21" s="4" t="s">
        <v>55</v>
      </c>
      <c r="D21" s="4">
        <v>0</v>
      </c>
      <c r="E21" s="4">
        <v>-0.22083333333193877</v>
      </c>
      <c r="F21" s="4">
        <v>0</v>
      </c>
      <c r="G21" s="4">
        <v>1500</v>
      </c>
      <c r="H21" s="4">
        <v>0</v>
      </c>
    </row>
    <row r="22" spans="2:8" x14ac:dyDescent="0.2">
      <c r="B22" s="4" t="s">
        <v>58</v>
      </c>
      <c r="C22" s="4" t="s">
        <v>55</v>
      </c>
      <c r="D22" s="4">
        <v>1500</v>
      </c>
      <c r="E22" s="4">
        <v>0</v>
      </c>
      <c r="F22" s="4">
        <v>0</v>
      </c>
      <c r="G22" s="4">
        <v>1500</v>
      </c>
      <c r="H22" s="4">
        <v>1E+30</v>
      </c>
    </row>
    <row r="23" spans="2:8" ht="17" thickBot="1" x14ac:dyDescent="0.25">
      <c r="B23" s="5" t="s">
        <v>59</v>
      </c>
      <c r="C23" s="5" t="s">
        <v>40</v>
      </c>
      <c r="D23" s="5">
        <v>7500</v>
      </c>
      <c r="E23" s="5">
        <v>0.11666666666860692</v>
      </c>
      <c r="F23" s="5">
        <v>7500</v>
      </c>
      <c r="G23" s="5">
        <v>1500</v>
      </c>
      <c r="H23" s="5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DFF7-5F9C-A94C-AFB8-E633D5B458C8}">
  <dimension ref="A1:O18"/>
  <sheetViews>
    <sheetView tabSelected="1" workbookViewId="0">
      <selection activeCell="E26" sqref="E26"/>
    </sheetView>
  </sheetViews>
  <sheetFormatPr baseColWidth="10" defaultRowHeight="16" x14ac:dyDescent="0.2"/>
  <cols>
    <col min="1" max="1" width="15" bestFit="1" customWidth="1"/>
  </cols>
  <sheetData>
    <row r="1" spans="1:15" x14ac:dyDescent="0.2">
      <c r="B1" t="s">
        <v>8</v>
      </c>
      <c r="H1" t="s">
        <v>15</v>
      </c>
    </row>
    <row r="2" spans="1:15" x14ac:dyDescent="0.2">
      <c r="A2" t="s">
        <v>9</v>
      </c>
      <c r="B2" s="2">
        <v>4500</v>
      </c>
      <c r="H2" t="s">
        <v>16</v>
      </c>
      <c r="J2">
        <f>(16000+17500+5000)/12000</f>
        <v>3.2083333333333335</v>
      </c>
      <c r="K2" s="9">
        <f>5.7-J2</f>
        <v>2.4916666666666667</v>
      </c>
    </row>
    <row r="3" spans="1:15" x14ac:dyDescent="0.2">
      <c r="A3" t="s">
        <v>10</v>
      </c>
      <c r="B3" s="2">
        <v>6000</v>
      </c>
      <c r="C3" s="8"/>
      <c r="D3" s="8"/>
      <c r="H3" t="s">
        <v>6</v>
      </c>
      <c r="K3" s="9">
        <f>16000/12000</f>
        <v>1.3333333333333333</v>
      </c>
    </row>
    <row r="4" spans="1:15" x14ac:dyDescent="0.2">
      <c r="A4" t="s">
        <v>11</v>
      </c>
      <c r="B4" s="2">
        <v>0</v>
      </c>
      <c r="H4" t="s">
        <v>7</v>
      </c>
      <c r="K4" s="9">
        <f>17500/24000</f>
        <v>0.72916666666666663</v>
      </c>
    </row>
    <row r="5" spans="1:15" x14ac:dyDescent="0.2">
      <c r="A5" t="s">
        <v>12</v>
      </c>
      <c r="B5" s="2">
        <v>1500</v>
      </c>
      <c r="H5" t="s">
        <v>0</v>
      </c>
      <c r="J5" s="1">
        <f>(K3/2)+0.2</f>
        <v>0.8666666666666667</v>
      </c>
      <c r="K5" s="9">
        <f>0.8-J5</f>
        <v>-6.6666666666666652E-2</v>
      </c>
      <c r="M5" s="1">
        <f>K3+0.4</f>
        <v>1.7333333333333334</v>
      </c>
      <c r="N5" s="1">
        <f>0.8-M5</f>
        <v>-0.93333333333333335</v>
      </c>
    </row>
    <row r="6" spans="1:15" x14ac:dyDescent="0.2">
      <c r="H6" t="s">
        <v>1</v>
      </c>
      <c r="J6">
        <f>(K4/2)+0.1</f>
        <v>0.46458333333333335</v>
      </c>
      <c r="K6" s="9">
        <f>0.65-J6</f>
        <v>0.18541666666666667</v>
      </c>
      <c r="O6" t="s">
        <v>42</v>
      </c>
    </row>
    <row r="7" spans="1:15" x14ac:dyDescent="0.2">
      <c r="H7" t="s">
        <v>17</v>
      </c>
      <c r="J7">
        <v>0.25</v>
      </c>
      <c r="K7" s="2">
        <v>-0.25</v>
      </c>
    </row>
    <row r="8" spans="1:15" x14ac:dyDescent="0.2">
      <c r="A8" t="s">
        <v>2</v>
      </c>
    </row>
    <row r="9" spans="1:15" x14ac:dyDescent="0.2">
      <c r="A9" t="s">
        <v>13</v>
      </c>
      <c r="B9">
        <f>B2+(0.5*B3)</f>
        <v>7500</v>
      </c>
      <c r="C9" t="s">
        <v>4</v>
      </c>
      <c r="D9">
        <v>7500</v>
      </c>
    </row>
    <row r="10" spans="1:15" x14ac:dyDescent="0.2">
      <c r="A10" t="s">
        <v>14</v>
      </c>
      <c r="B10">
        <f>(2*B2)+(0.5*B4)</f>
        <v>9000</v>
      </c>
      <c r="C10" t="s">
        <v>4</v>
      </c>
      <c r="D10">
        <v>9000</v>
      </c>
    </row>
    <row r="11" spans="1:15" x14ac:dyDescent="0.2">
      <c r="A11" t="s">
        <v>44</v>
      </c>
      <c r="B11">
        <f>(0.5*B3)+(0.5*B4)+B5</f>
        <v>4500</v>
      </c>
      <c r="C11" t="s">
        <v>3</v>
      </c>
      <c r="D11">
        <f>B2</f>
        <v>4500</v>
      </c>
    </row>
    <row r="12" spans="1:15" x14ac:dyDescent="0.2">
      <c r="A12" t="s">
        <v>45</v>
      </c>
      <c r="B12">
        <f>B2</f>
        <v>4500</v>
      </c>
      <c r="C12" t="s">
        <v>43</v>
      </c>
      <c r="D12">
        <v>0</v>
      </c>
    </row>
    <row r="13" spans="1:15" x14ac:dyDescent="0.2">
      <c r="A13" t="s">
        <v>45</v>
      </c>
      <c r="B13">
        <f>B3</f>
        <v>6000</v>
      </c>
      <c r="C13" t="s">
        <v>43</v>
      </c>
      <c r="D13">
        <v>0</v>
      </c>
    </row>
    <row r="14" spans="1:15" x14ac:dyDescent="0.2">
      <c r="A14" t="s">
        <v>45</v>
      </c>
      <c r="B14">
        <f>B4</f>
        <v>0</v>
      </c>
      <c r="C14" t="s">
        <v>43</v>
      </c>
      <c r="D14">
        <v>0</v>
      </c>
    </row>
    <row r="15" spans="1:15" x14ac:dyDescent="0.2">
      <c r="A15" t="s">
        <v>45</v>
      </c>
      <c r="B15">
        <f>B5</f>
        <v>1500</v>
      </c>
      <c r="C15" t="s">
        <v>43</v>
      </c>
      <c r="D15">
        <v>0</v>
      </c>
    </row>
    <row r="18" spans="1:2" x14ac:dyDescent="0.2">
      <c r="A18" t="s">
        <v>5</v>
      </c>
      <c r="B18" s="10">
        <f>(K2*B2)+(K5*B3)+(K6*B4)+(K7*B5)-17500</f>
        <v>-7062.5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M. Boyle</dc:creator>
  <cp:lastModifiedBy>Brandon M. Boyle</cp:lastModifiedBy>
  <dcterms:created xsi:type="dcterms:W3CDTF">2026-02-23T15:40:49Z</dcterms:created>
  <dcterms:modified xsi:type="dcterms:W3CDTF">2026-02-25T01:55:31Z</dcterms:modified>
</cp:coreProperties>
</file>